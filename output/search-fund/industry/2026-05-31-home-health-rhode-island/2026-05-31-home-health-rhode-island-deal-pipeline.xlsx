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ctive Targets" sheetId="2" state="visible" r:id="rId2"/>
    <sheet xmlns:r="http://schemas.openxmlformats.org/officeDocument/2006/relationships" name="Passed" sheetId="3" state="visible" r:id="rId3"/>
    <sheet xmlns:r="http://schemas.openxmlformats.org/officeDocument/2006/relationships" name="Contacts" sheetId="4" state="visible" r:id="rId4"/>
  </sheets>
  <definedNames>
    <definedName name="_xlnm._FilterDatabase" localSheetId="1" hidden="1">'Active Targets'!$A$4:$R$16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\%"/>
  </numFmts>
  <fonts count="6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i val="1"/>
      <color rgb="007F8C8D"/>
      <sz val="10"/>
    </font>
    <font>
      <name val="Calibri"/>
      <b val="1"/>
      <color rgb="00FFFFFF"/>
      <sz val="11"/>
    </font>
    <font>
      <b val="1"/>
      <color rgb="001B2A4A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E8F8F5"/>
        </patternFill>
      </fill>
    </dxf>
    <dxf>
      <fill>
        <patternFill patternType="solid">
          <fgColor rgb="00FDEDEC"/>
        </patternFill>
      </fill>
    </dxf>
    <dxf>
      <fill>
        <patternFill patternType="solid">
          <f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" customWidth="1" min="3" max="3"/>
    <col width="30" customWidth="1" min="4" max="4"/>
    <col width="12" customWidth="1" min="5" max="5"/>
  </cols>
  <sheetData>
    <row r="1">
      <c r="A1" s="1" t="inlineStr">
        <is>
          <t>Deal Pipeline — Home Health</t>
        </is>
      </c>
    </row>
    <row r="2">
      <c r="A2" s="2" t="inlineStr">
        <is>
          <t>Rhode Island · generated by analyze</t>
        </is>
      </c>
    </row>
    <row r="4">
      <c r="A4" s="3" t="inlineStr">
        <is>
          <t>Pipeline by Stage</t>
        </is>
      </c>
      <c r="D4" s="3" t="inlineStr">
        <is>
          <t>Snapshot</t>
        </is>
      </c>
    </row>
    <row r="5">
      <c r="A5" s="4" t="inlineStr">
        <is>
          <t>Stage</t>
        </is>
      </c>
      <c r="B5" s="4" t="inlineStr">
        <is>
          <t>Count</t>
        </is>
      </c>
      <c r="D5" t="inlineStr">
        <is>
          <t>Avg fit score (/40)</t>
        </is>
      </c>
      <c r="E5" s="5">
        <f>IFERROR(AVERAGE('Active Targets'!K5:K16),0)</f>
        <v/>
      </c>
    </row>
    <row r="6">
      <c r="A6" s="6" t="inlineStr">
        <is>
          <t>Sourced</t>
        </is>
      </c>
      <c r="B6" s="7">
        <f>COUNTIF('Active Targets'!M5:M16,"Sourced")</f>
        <v/>
      </c>
      <c r="D6" t="inlineStr">
        <is>
          <t>Total EBITDA in pipeline ($M)</t>
        </is>
      </c>
      <c r="E6" s="5">
        <f>SUM('Active Targets'!F5:F16)</f>
        <v/>
      </c>
    </row>
    <row r="7">
      <c r="A7" s="6" t="inlineStr">
        <is>
          <t>Contacted</t>
        </is>
      </c>
      <c r="B7" s="7">
        <f>COUNTIF('Active Targets'!M5:M16,"Contacted")</f>
        <v/>
      </c>
      <c r="D7" t="inlineStr">
        <is>
          <t>Prob-weighted EBITDA ($M)</t>
        </is>
      </c>
      <c r="E7" s="5">
        <f>SUMPRODUCT('Active Targets'!F5:F16,'Active Targets'!N5:N16)</f>
        <v/>
      </c>
    </row>
    <row r="8">
      <c r="A8" s="6" t="inlineStr">
        <is>
          <t>NDA</t>
        </is>
      </c>
      <c r="B8" s="7">
        <f>COUNTIF('Active Targets'!M5:M16,"NDA")</f>
        <v/>
      </c>
    </row>
    <row r="9">
      <c r="A9" s="6" t="inlineStr">
        <is>
          <t>IOI</t>
        </is>
      </c>
      <c r="B9" s="7">
        <f>COUNTIF('Active Targets'!M5:M16,"IOI")</f>
        <v/>
      </c>
    </row>
    <row r="10">
      <c r="A10" s="6" t="inlineStr">
        <is>
          <t>LOI</t>
        </is>
      </c>
      <c r="B10" s="7">
        <f>COUNTIF('Active Targets'!M5:M16,"LOI")</f>
        <v/>
      </c>
    </row>
    <row r="11">
      <c r="A11" s="6" t="inlineStr">
        <is>
          <t>Diligence</t>
        </is>
      </c>
      <c r="B11" s="7">
        <f>COUNTIF('Active Targets'!M5:M16,"Diligence")</f>
        <v/>
      </c>
    </row>
    <row r="12">
      <c r="A12" s="6" t="inlineStr">
        <is>
          <t>Closed</t>
        </is>
      </c>
      <c r="B12" s="7">
        <f>COUNTIF('Active Targets'!M5:M16,"Closed")</f>
        <v/>
      </c>
    </row>
    <row r="13">
      <c r="A13" s="6" t="inlineStr">
        <is>
          <t>Passed</t>
        </is>
      </c>
      <c r="B13" s="7">
        <f>COUNTIF('Active Targets'!M5:M16,"Passed")</f>
        <v/>
      </c>
    </row>
    <row r="14">
      <c r="A14" s="8" t="inlineStr">
        <is>
          <t>Total active</t>
        </is>
      </c>
      <c r="B14" s="8">
        <f>COUNTA('Active Targets'!B5:B16)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2" customWidth="1" min="5" max="5"/>
    <col width="12" customWidth="1" min="6" max="6"/>
    <col width="10" customWidth="1" min="7" max="7"/>
    <col width="11" customWidth="1" min="8" max="8"/>
    <col width="10" customWidth="1" min="9" max="9"/>
    <col width="16" customWidth="1" min="10" max="10"/>
    <col width="9" customWidth="1" min="11" max="11"/>
    <col width="22" customWidth="1" min="12" max="12"/>
    <col width="13" customWidth="1" min="13" max="13"/>
    <col width="8" customWidth="1" min="14" max="14"/>
    <col width="8" customWidth="1" min="15" max="15"/>
    <col width="13" customWidth="1" min="16" max="16"/>
    <col width="26" customWidth="1" min="17" max="17"/>
    <col width="34" customWidth="1" min="18" max="18"/>
  </cols>
  <sheetData>
    <row r="1">
      <c r="A1" s="1" t="inlineStr">
        <is>
          <t>Active Targets</t>
        </is>
      </c>
    </row>
    <row r="2">
      <c r="A2" s="2" t="inlineStr">
        <is>
          <t>Live acquisition pipeline — one row per target</t>
        </is>
      </c>
    </row>
    <row r="4">
      <c r="A4" s="4" t="inlineStr">
        <is>
          <t>#</t>
        </is>
      </c>
      <c r="B4" s="4" t="inlineStr">
        <is>
          <t>Company</t>
        </is>
      </c>
      <c r="C4" s="4" t="inlineStr">
        <is>
          <t>Segment</t>
        </is>
      </c>
      <c r="D4" s="4" t="inlineStr">
        <is>
          <t>Location</t>
        </is>
      </c>
      <c r="E4" s="4" t="inlineStr">
        <is>
          <t>Revenue ($M)</t>
        </is>
      </c>
      <c r="F4" s="4" t="inlineStr">
        <is>
          <t>EBITDA ($M)</t>
        </is>
      </c>
      <c r="G4" s="4" t="inlineStr">
        <is>
          <t>Margin %</t>
        </is>
      </c>
      <c r="H4" s="4" t="inlineStr">
        <is>
          <t>Recurring %</t>
        </is>
      </c>
      <c r="I4" s="4" t="inlineStr">
        <is>
          <t>Top Cust %</t>
        </is>
      </c>
      <c r="J4" s="4" t="inlineStr">
        <is>
          <t>Owner Transition</t>
        </is>
      </c>
      <c r="K4" s="4" t="inlineStr">
        <is>
          <t>Fit (/40)</t>
        </is>
      </c>
      <c r="L4" s="4" t="inlineStr">
        <is>
          <t>Source / Intermediary</t>
        </is>
      </c>
      <c r="M4" s="4" t="inlineStr">
        <is>
          <t>Stage</t>
        </is>
      </c>
      <c r="N4" s="4" t="inlineStr">
        <is>
          <t>Prob %</t>
        </is>
      </c>
      <c r="O4" s="4" t="inlineStr">
        <is>
          <t>Lead</t>
        </is>
      </c>
      <c r="P4" s="4" t="inlineStr">
        <is>
          <t>Last Contact</t>
        </is>
      </c>
      <c r="Q4" s="4" t="inlineStr">
        <is>
          <t>Next Step</t>
        </is>
      </c>
      <c r="R4" s="4" t="inlineStr">
        <is>
          <t>Notes</t>
        </is>
      </c>
    </row>
    <row r="5">
      <c r="A5" s="9" t="n">
        <v>1</v>
      </c>
      <c r="B5" s="10" t="inlineStr">
        <is>
          <t>A Caring Experience Nursing Services, Inc.</t>
        </is>
      </c>
      <c r="C5" s="10" t="inlineStr">
        <is>
          <t>Skilled home health</t>
        </is>
      </c>
      <c r="D5" s="9" t="inlineStr">
        <is>
          <t>Providence, RI</t>
        </is>
      </c>
      <c r="E5" s="11" t="n">
        <v>4.6</v>
      </c>
      <c r="F5" s="11" t="n">
        <v>0.7</v>
      </c>
      <c r="G5" s="12">
        <f>IF(E5=0,"",F5/E5)</f>
        <v/>
      </c>
      <c r="H5" s="13" t="n">
        <v>72</v>
      </c>
      <c r="I5" s="13" t="n">
        <v>18</v>
      </c>
      <c r="J5" s="9" t="inlineStr">
        <is>
          <t>Yes</t>
        </is>
      </c>
      <c r="K5" s="14" t="n">
        <v>30</v>
      </c>
      <c r="L5" s="10" t="inlineStr">
        <is>
          <t>NPPES (off-market)</t>
        </is>
      </c>
      <c r="M5" s="9" t="inlineStr">
        <is>
          <t>Sourced</t>
        </is>
      </c>
      <c r="N5" s="13" t="n">
        <v>10</v>
      </c>
      <c r="O5" s="9" t="inlineStr">
        <is>
          <t>DD</t>
        </is>
      </c>
      <c r="P5" s="9" t="inlineStr"/>
      <c r="Q5" s="15" t="inlineStr">
        <is>
          <t>Owner outreach letter</t>
        </is>
      </c>
      <c r="R5" s="15" t="inlineStr">
        <is>
          <t>Illustrative figures</t>
        </is>
      </c>
    </row>
    <row r="6">
      <c r="A6" s="16" t="n">
        <v>2</v>
      </c>
      <c r="B6" s="17" t="inlineStr">
        <is>
          <t>Adoration Home Health Care Rhode Island, LLC</t>
        </is>
      </c>
      <c r="C6" s="17" t="inlineStr">
        <is>
          <t>Skilled home health</t>
        </is>
      </c>
      <c r="D6" s="16" t="inlineStr">
        <is>
          <t>Providence, RI</t>
        </is>
      </c>
      <c r="E6" s="18" t="n">
        <v>3.1</v>
      </c>
      <c r="F6" s="18" t="n">
        <v>0.4</v>
      </c>
      <c r="G6" s="19">
        <f>IF(E6=0,"",F6/E6)</f>
        <v/>
      </c>
      <c r="H6" s="20" t="n">
        <v>65</v>
      </c>
      <c r="I6" s="20" t="n">
        <v>22</v>
      </c>
      <c r="J6" s="16" t="inlineStr">
        <is>
          <t>Unknown</t>
        </is>
      </c>
      <c r="K6" s="21" t="n">
        <v>24</v>
      </c>
      <c r="L6" s="17" t="inlineStr">
        <is>
          <t>NPPES (off-market)</t>
        </is>
      </c>
      <c r="M6" s="16" t="inlineStr">
        <is>
          <t>Sourced</t>
        </is>
      </c>
      <c r="N6" s="20" t="n">
        <v>10</v>
      </c>
      <c r="O6" s="16" t="inlineStr">
        <is>
          <t>DD</t>
        </is>
      </c>
      <c r="P6" s="16" t="inlineStr"/>
      <c r="Q6" s="22" t="inlineStr">
        <is>
          <t>Confirm licensure &amp; census</t>
        </is>
      </c>
      <c r="R6" s="22" t="inlineStr">
        <is>
          <t>Illustrative figures</t>
        </is>
      </c>
    </row>
    <row r="7">
      <c r="A7" s="9" t="n">
        <v>3</v>
      </c>
      <c r="B7" s="10" t="inlineStr">
        <is>
          <t>Angels Home Care LLC</t>
        </is>
      </c>
      <c r="C7" s="10" t="inlineStr">
        <is>
          <t>Non-medical home care</t>
        </is>
      </c>
      <c r="D7" s="9" t="inlineStr">
        <is>
          <t>Cranston, RI</t>
        </is>
      </c>
      <c r="E7" s="11" t="n">
        <v>2.4</v>
      </c>
      <c r="F7" s="11" t="n">
        <v>0.35</v>
      </c>
      <c r="G7" s="12">
        <f>IF(E7=0,"",F7/E7)</f>
        <v/>
      </c>
      <c r="H7" s="13" t="n">
        <v>80</v>
      </c>
      <c r="I7" s="13" t="n">
        <v>10</v>
      </c>
      <c r="J7" s="9" t="inlineStr">
        <is>
          <t>Yes</t>
        </is>
      </c>
      <c r="K7" s="14" t="n">
        <v>28</v>
      </c>
      <c r="L7" s="10" t="inlineStr">
        <is>
          <t>Broker (regional)</t>
        </is>
      </c>
      <c r="M7" s="9" t="inlineStr">
        <is>
          <t>Contacted</t>
        </is>
      </c>
      <c r="N7" s="13" t="n">
        <v>20</v>
      </c>
      <c r="O7" s="9" t="inlineStr">
        <is>
          <t>DD</t>
        </is>
      </c>
      <c r="P7" s="9" t="inlineStr">
        <is>
          <t>2026-05-22</t>
        </is>
      </c>
      <c r="Q7" s="15" t="inlineStr">
        <is>
          <t>Send NDA</t>
        </is>
      </c>
      <c r="R7" s="15" t="inlineStr">
        <is>
          <t>Illustrative figures</t>
        </is>
      </c>
    </row>
    <row r="8">
      <c r="A8" s="16" t="n">
        <v>4</v>
      </c>
      <c r="B8" s="17" t="inlineStr">
        <is>
          <t>Assisted Daily Living, Inc.</t>
        </is>
      </c>
      <c r="C8" s="17" t="inlineStr">
        <is>
          <t>Non-medical home care</t>
        </is>
      </c>
      <c r="D8" s="16" t="inlineStr">
        <is>
          <t>Warwick, RI</t>
        </is>
      </c>
      <c r="E8" s="18" t="n">
        <v>5.2</v>
      </c>
      <c r="F8" s="18" t="n">
        <v>0.9</v>
      </c>
      <c r="G8" s="19">
        <f>IF(E8=0,"",F8/E8)</f>
        <v/>
      </c>
      <c r="H8" s="20" t="n">
        <v>75</v>
      </c>
      <c r="I8" s="20" t="n">
        <v>14</v>
      </c>
      <c r="J8" s="16" t="inlineStr">
        <is>
          <t>Partial</t>
        </is>
      </c>
      <c r="K8" s="21" t="n">
        <v>31</v>
      </c>
      <c r="L8" s="17" t="inlineStr">
        <is>
          <t>BizBuySell</t>
        </is>
      </c>
      <c r="M8" s="16" t="inlineStr">
        <is>
          <t>NDA</t>
        </is>
      </c>
      <c r="N8" s="20" t="n">
        <v>35</v>
      </c>
      <c r="O8" s="16" t="inlineStr">
        <is>
          <t>DD</t>
        </is>
      </c>
      <c r="P8" s="16" t="inlineStr">
        <is>
          <t>2026-05-26</t>
        </is>
      </c>
      <c r="Q8" s="22" t="inlineStr">
        <is>
          <t>Request 3-yr financials</t>
        </is>
      </c>
      <c r="R8" s="22" t="inlineStr">
        <is>
          <t>Candidate platform</t>
        </is>
      </c>
    </row>
    <row r="9">
      <c r="A9" s="9" t="n">
        <v>5</v>
      </c>
      <c r="B9" s="10" t="inlineStr">
        <is>
          <t>Better Life Home Care Inc</t>
        </is>
      </c>
      <c r="C9" s="10" t="inlineStr">
        <is>
          <t>Non-medical home care</t>
        </is>
      </c>
      <c r="D9" s="9" t="inlineStr">
        <is>
          <t>Providence, RI</t>
        </is>
      </c>
      <c r="E9" s="11" t="n">
        <v>1.8</v>
      </c>
      <c r="F9" s="11" t="n">
        <v>0.22</v>
      </c>
      <c r="G9" s="12">
        <f>IF(E9=0,"",F9/E9)</f>
        <v/>
      </c>
      <c r="H9" s="13" t="n">
        <v>68</v>
      </c>
      <c r="I9" s="13" t="n">
        <v>25</v>
      </c>
      <c r="J9" s="9" t="inlineStr">
        <is>
          <t>Yes</t>
        </is>
      </c>
      <c r="K9" s="14" t="n">
        <v>22</v>
      </c>
      <c r="L9" s="10" t="inlineStr">
        <is>
          <t>NPPES (off-market)</t>
        </is>
      </c>
      <c r="M9" s="9" t="inlineStr">
        <is>
          <t>Sourced</t>
        </is>
      </c>
      <c r="N9" s="13" t="n">
        <v>5</v>
      </c>
      <c r="O9" s="9" t="inlineStr">
        <is>
          <t>DD</t>
        </is>
      </c>
      <c r="P9" s="9" t="inlineStr"/>
      <c r="Q9" s="15" t="inlineStr">
        <is>
          <t>Qualify size</t>
        </is>
      </c>
      <c r="R9" s="15" t="inlineStr">
        <is>
          <t>Possible add-on</t>
        </is>
      </c>
    </row>
    <row r="10">
      <c r="A10" s="16" t="n">
        <v>6</v>
      </c>
      <c r="B10" s="17" t="inlineStr">
        <is>
          <t>Access Healthcare, Inc.</t>
        </is>
      </c>
      <c r="C10" s="17" t="inlineStr">
        <is>
          <t>Skilled home health</t>
        </is>
      </c>
      <c r="D10" s="16" t="inlineStr">
        <is>
          <t>East Providence, RI</t>
        </is>
      </c>
      <c r="E10" s="18" t="n">
        <v>6</v>
      </c>
      <c r="F10" s="18" t="n">
        <v>1.1</v>
      </c>
      <c r="G10" s="19">
        <f>IF(E10=0,"",F10/E10)</f>
        <v/>
      </c>
      <c r="H10" s="20" t="n">
        <v>78</v>
      </c>
      <c r="I10" s="20" t="n">
        <v>16</v>
      </c>
      <c r="J10" s="16" t="inlineStr">
        <is>
          <t>Yes</t>
        </is>
      </c>
      <c r="K10" s="21" t="n">
        <v>34</v>
      </c>
      <c r="L10" s="17" t="inlineStr">
        <is>
          <t>M&amp;A advisor</t>
        </is>
      </c>
      <c r="M10" s="16" t="inlineStr">
        <is>
          <t>IOI</t>
        </is>
      </c>
      <c r="N10" s="20" t="n">
        <v>45</v>
      </c>
      <c r="O10" s="16" t="inlineStr">
        <is>
          <t>DD</t>
        </is>
      </c>
      <c r="P10" s="16" t="inlineStr">
        <is>
          <t>2026-05-28</t>
        </is>
      </c>
      <c r="Q10" s="22" t="inlineStr">
        <is>
          <t>Submit IOI</t>
        </is>
      </c>
      <c r="R10" s="22" t="inlineStr">
        <is>
          <t>Strong platform candidate</t>
        </is>
      </c>
    </row>
    <row r="11">
      <c r="A11" s="9" t="n">
        <v>7</v>
      </c>
      <c r="B11" s="10" t="n"/>
      <c r="C11" s="10" t="n"/>
      <c r="D11" s="9" t="n"/>
      <c r="E11" s="11" t="n"/>
      <c r="F11" s="11" t="n"/>
      <c r="G11" s="12">
        <f>IF(E11=0,"",F11/E11)</f>
        <v/>
      </c>
      <c r="H11" s="13" t="n"/>
      <c r="I11" s="13" t="n"/>
      <c r="J11" s="9" t="n"/>
      <c r="K11" s="14" t="n"/>
      <c r="L11" s="10" t="n"/>
      <c r="M11" s="9" t="n"/>
      <c r="N11" s="13" t="n"/>
      <c r="O11" s="9" t="n"/>
      <c r="P11" s="9" t="n"/>
      <c r="Q11" s="15" t="n"/>
      <c r="R11" s="15" t="n"/>
    </row>
    <row r="12">
      <c r="A12" s="16" t="n">
        <v>8</v>
      </c>
      <c r="B12" s="17" t="n"/>
      <c r="C12" s="17" t="n"/>
      <c r="D12" s="16" t="n"/>
      <c r="E12" s="18" t="n"/>
      <c r="F12" s="18" t="n"/>
      <c r="G12" s="19">
        <f>IF(E12=0,"",F12/E12)</f>
        <v/>
      </c>
      <c r="H12" s="20" t="n"/>
      <c r="I12" s="20" t="n"/>
      <c r="J12" s="16" t="n"/>
      <c r="K12" s="21" t="n"/>
      <c r="L12" s="17" t="n"/>
      <c r="M12" s="16" t="n"/>
      <c r="N12" s="20" t="n"/>
      <c r="O12" s="16" t="n"/>
      <c r="P12" s="16" t="n"/>
      <c r="Q12" s="22" t="n"/>
      <c r="R12" s="22" t="n"/>
    </row>
    <row r="13">
      <c r="A13" s="9" t="n">
        <v>9</v>
      </c>
      <c r="B13" s="10" t="n"/>
      <c r="C13" s="10" t="n"/>
      <c r="D13" s="9" t="n"/>
      <c r="E13" s="11" t="n"/>
      <c r="F13" s="11" t="n"/>
      <c r="G13" s="12">
        <f>IF(E13=0,"",F13/E13)</f>
        <v/>
      </c>
      <c r="H13" s="13" t="n"/>
      <c r="I13" s="13" t="n"/>
      <c r="J13" s="9" t="n"/>
      <c r="K13" s="14" t="n"/>
      <c r="L13" s="10" t="n"/>
      <c r="M13" s="9" t="n"/>
      <c r="N13" s="13" t="n"/>
      <c r="O13" s="9" t="n"/>
      <c r="P13" s="9" t="n"/>
      <c r="Q13" s="15" t="n"/>
      <c r="R13" s="15" t="n"/>
    </row>
    <row r="14">
      <c r="A14" s="16" t="n">
        <v>10</v>
      </c>
      <c r="B14" s="17" t="n"/>
      <c r="C14" s="17" t="n"/>
      <c r="D14" s="16" t="n"/>
      <c r="E14" s="18" t="n"/>
      <c r="F14" s="18" t="n"/>
      <c r="G14" s="19">
        <f>IF(E14=0,"",F14/E14)</f>
        <v/>
      </c>
      <c r="H14" s="20" t="n"/>
      <c r="I14" s="20" t="n"/>
      <c r="J14" s="16" t="n"/>
      <c r="K14" s="21" t="n"/>
      <c r="L14" s="17" t="n"/>
      <c r="M14" s="16" t="n"/>
      <c r="N14" s="20" t="n"/>
      <c r="O14" s="16" t="n"/>
      <c r="P14" s="16" t="n"/>
      <c r="Q14" s="22" t="n"/>
      <c r="R14" s="22" t="n"/>
    </row>
    <row r="15">
      <c r="A15" s="9" t="n">
        <v>11</v>
      </c>
      <c r="B15" s="10" t="n"/>
      <c r="C15" s="10" t="n"/>
      <c r="D15" s="9" t="n"/>
      <c r="E15" s="11" t="n"/>
      <c r="F15" s="11" t="n"/>
      <c r="G15" s="12">
        <f>IF(E15=0,"",F15/E15)</f>
        <v/>
      </c>
      <c r="H15" s="13" t="n"/>
      <c r="I15" s="13" t="n"/>
      <c r="J15" s="9" t="n"/>
      <c r="K15" s="14" t="n"/>
      <c r="L15" s="10" t="n"/>
      <c r="M15" s="9" t="n"/>
      <c r="N15" s="13" t="n"/>
      <c r="O15" s="9" t="n"/>
      <c r="P15" s="9" t="n"/>
      <c r="Q15" s="15" t="n"/>
      <c r="R15" s="15" t="n"/>
    </row>
    <row r="16">
      <c r="A16" s="16" t="n">
        <v>12</v>
      </c>
      <c r="B16" s="17" t="n"/>
      <c r="C16" s="17" t="n"/>
      <c r="D16" s="16" t="n"/>
      <c r="E16" s="18" t="n"/>
      <c r="F16" s="18" t="n"/>
      <c r="G16" s="19">
        <f>IF(E16=0,"",F16/E16)</f>
        <v/>
      </c>
      <c r="H16" s="20" t="n"/>
      <c r="I16" s="20" t="n"/>
      <c r="J16" s="16" t="n"/>
      <c r="K16" s="21" t="n"/>
      <c r="L16" s="17" t="n"/>
      <c r="M16" s="16" t="n"/>
      <c r="N16" s="20" t="n"/>
      <c r="O16" s="16" t="n"/>
      <c r="P16" s="16" t="n"/>
      <c r="Q16" s="22" t="n"/>
      <c r="R16" s="22" t="n"/>
    </row>
  </sheetData>
  <autoFilter ref="A4:R16"/>
  <conditionalFormatting sqref="M5:M16">
    <cfRule type="cellIs" priority="1" operator="equal" dxfId="0">
      <formula>"LOI"</formula>
    </cfRule>
    <cfRule type="cellIs" priority="2" operator="equal" dxfId="0">
      <formula>"Diligence"</formula>
    </cfRule>
    <cfRule type="cellIs" priority="3" operator="equal" dxfId="0">
      <formula>"Closed"</formula>
    </cfRule>
    <cfRule type="cellIs" priority="4" operator="equal" dxfId="1">
      <formula>"Passed"</formula>
    </cfRule>
    <cfRule type="cellIs" priority="5" operator="equal" dxfId="2">
      <formula>"IOI"</formula>
    </cfRule>
    <cfRule type="cellIs" priority="6" operator="equal" dxfId="2">
      <formula>"NDA"</formula>
    </cfRule>
  </conditionalFormatting>
  <dataValidations count="2">
    <dataValidation sqref="M5:M16" showDropDown="0" showInputMessage="0" showErrorMessage="0" allowBlank="1" type="list">
      <formula1>"Sourced,Contacted,NDA,IOI,LOI,Diligence,Closed,Passed"</formula1>
    </dataValidation>
    <dataValidation sqref="J5:J16" showDropDown="0" showInputMessage="0" showErrorMessage="0" allowBlank="1" type="list">
      <formula1>"Yes,No,Partial,Unknown"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4" customWidth="1" min="3" max="3"/>
    <col width="14" customWidth="1" min="4" max="4"/>
  </cols>
  <sheetData>
    <row r="1">
      <c r="A1" s="1" t="inlineStr">
        <is>
          <t>Passed / Abandoned</t>
        </is>
      </c>
    </row>
    <row r="2">
      <c r="A2" s="2" t="inlineStr">
        <is>
          <t>Targets reviewed and declined — keep for institutional memory</t>
        </is>
      </c>
    </row>
    <row r="4">
      <c r="A4" s="4" t="inlineStr">
        <is>
          <t>Company</t>
        </is>
      </c>
      <c r="B4" s="4" t="inlineStr">
        <is>
          <t>Segment</t>
        </is>
      </c>
      <c r="C4" s="4" t="inlineStr">
        <is>
          <t>Reason Passed</t>
        </is>
      </c>
      <c r="D4" s="4" t="inlineStr">
        <is>
          <t>Date</t>
        </is>
      </c>
    </row>
    <row r="5">
      <c r="A5" s="10" t="inlineStr">
        <is>
          <t>BabyBloom LLC</t>
        </is>
      </c>
      <c r="B5" s="10" t="inlineStr">
        <is>
          <t>Perinatal/niche</t>
        </is>
      </c>
      <c r="C5" s="15" t="inlineStr">
        <is>
          <t>Sub-scale; &lt;$1M revenue; outside thesis</t>
        </is>
      </c>
      <c r="D5" s="10" t="inlineStr">
        <is>
          <t>2026-05-18</t>
        </is>
      </c>
    </row>
    <row r="6">
      <c r="A6" s="17" t="inlineStr">
        <is>
          <t>Assured Quality Homecare, LLC</t>
        </is>
      </c>
      <c r="B6" s="17" t="inlineStr">
        <is>
          <t>Non-medical (CT-based)</t>
        </is>
      </c>
      <c r="C6" s="22" t="inlineStr">
        <is>
          <t>Out of geography (Norwich, CT)</t>
        </is>
      </c>
      <c r="D6" s="17" t="inlineStr">
        <is>
          <t>2026-05-19</t>
        </is>
      </c>
    </row>
    <row r="7">
      <c r="A7" s="10" t="n"/>
      <c r="B7" s="10" t="n"/>
      <c r="C7" s="15" t="n"/>
      <c r="D7" s="10" t="n"/>
    </row>
    <row r="8">
      <c r="A8" s="17" t="n"/>
      <c r="B8" s="17" t="n"/>
      <c r="C8" s="22" t="n"/>
      <c r="D8" s="17" t="n"/>
    </row>
    <row r="9">
      <c r="A9" s="10" t="n"/>
      <c r="B9" s="10" t="n"/>
      <c r="C9" s="15" t="n"/>
      <c r="D9" s="10" t="n"/>
    </row>
    <row r="10">
      <c r="A10" s="17" t="n"/>
      <c r="B10" s="17" t="n"/>
      <c r="C10" s="22" t="n"/>
      <c r="D10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4" customWidth="1" min="4" max="4"/>
    <col width="26" customWidth="1" min="5" max="5"/>
    <col width="16" customWidth="1" min="6" max="6"/>
    <col width="13" customWidth="1" min="7" max="7"/>
    <col width="30" customWidth="1" min="8" max="8"/>
  </cols>
  <sheetData>
    <row r="1">
      <c r="A1" s="1" t="inlineStr">
        <is>
          <t>Contacts</t>
        </is>
      </c>
    </row>
    <row r="2">
      <c r="A2" s="2" t="inlineStr">
        <is>
          <t>Brokers, advisors, and owners across the pipeline</t>
        </is>
      </c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Company</t>
        </is>
      </c>
      <c r="D4" s="4" t="inlineStr">
        <is>
          <t>Type</t>
        </is>
      </c>
      <c r="E4" s="4" t="inlineStr">
        <is>
          <t>Email</t>
        </is>
      </c>
      <c r="F4" s="4" t="inlineStr">
        <is>
          <t>Phone</t>
        </is>
      </c>
      <c r="G4" s="4" t="inlineStr">
        <is>
          <t>Last Contact</t>
        </is>
      </c>
      <c r="H4" s="4" t="inlineStr">
        <is>
          <t>Notes</t>
        </is>
      </c>
    </row>
    <row r="5">
      <c r="A5" s="10" t="inlineStr">
        <is>
          <t>Jane Broker</t>
        </is>
      </c>
      <c r="B5" s="10" t="inlineStr">
        <is>
          <t>Healthcare M&amp;A advisor</t>
        </is>
      </c>
      <c r="C5" s="10" t="inlineStr">
        <is>
          <t>Mertz Taggart</t>
        </is>
      </c>
      <c r="D5" s="10" t="inlineStr">
        <is>
          <t>M&amp;A Advisor</t>
        </is>
      </c>
      <c r="E5" s="10" t="inlineStr">
        <is>
          <t>jane@example.com</t>
        </is>
      </c>
      <c r="F5" s="10" t="inlineStr">
        <is>
          <t>555-0100</t>
        </is>
      </c>
      <c r="G5" s="10" t="inlineStr">
        <is>
          <t>2026-05-28</t>
        </is>
      </c>
      <c r="H5" s="15" t="inlineStr">
        <is>
          <t>Covers NE home health/hospice</t>
        </is>
      </c>
    </row>
    <row r="6">
      <c r="A6" s="17" t="inlineStr">
        <is>
          <t>Sam Owner</t>
        </is>
      </c>
      <c r="B6" s="17" t="inlineStr">
        <is>
          <t>Owner/CEO</t>
        </is>
      </c>
      <c r="C6" s="17" t="inlineStr">
        <is>
          <t>Access Healthcare, Inc.</t>
        </is>
      </c>
      <c r="D6" s="17" t="inlineStr">
        <is>
          <t>Owner</t>
        </is>
      </c>
      <c r="E6" s="17" t="inlineStr">
        <is>
          <t>sam@example.com</t>
        </is>
      </c>
      <c r="F6" s="17" t="inlineStr">
        <is>
          <t>555-0142</t>
        </is>
      </c>
      <c r="G6" s="17" t="inlineStr">
        <is>
          <t>2026-05-28</t>
        </is>
      </c>
      <c r="H6" s="22" t="inlineStr">
        <is>
          <t>Open to sale w/ 12-mo transition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5" t="n"/>
    </row>
    <row r="8">
      <c r="A8" s="17" t="n"/>
      <c r="B8" s="17" t="n"/>
      <c r="C8" s="17" t="n"/>
      <c r="D8" s="17" t="n"/>
      <c r="E8" s="17" t="n"/>
      <c r="F8" s="17" t="n"/>
      <c r="G8" s="17" t="n"/>
      <c r="H8" s="22" t="n"/>
    </row>
    <row r="9">
      <c r="A9" s="10" t="n"/>
      <c r="B9" s="10" t="n"/>
      <c r="C9" s="10" t="n"/>
      <c r="D9" s="10" t="n"/>
      <c r="E9" s="10" t="n"/>
      <c r="F9" s="10" t="n"/>
      <c r="G9" s="10" t="n"/>
      <c r="H9" s="15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22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5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22" t="n"/>
    </row>
  </sheetData>
  <dataValidations count="1">
    <dataValidation sqref="D5:D12" showDropDown="0" showInputMessage="0" showErrorMessage="0" allowBlank="1" type="list">
      <formula1>"Broker,M&amp;A Advisor,Owner,Lender,Advisor,Other"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2026-05-31T14:18:03Z</dcterms:created>
  <dcterms:modified xmlns:dcterms="http://purl.org/dc/terms/" xmlns:xsi="http://www.w3.org/2001/XMLSchema-instance" xsi:type="dcterms:W3CDTF">2026-05-31T14:18:04Z</dcterms:modified>
</cp:coreProperties>
</file>